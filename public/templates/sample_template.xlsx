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ASH-TECH\EandI\Test Data\New folder\"/>
    </mc:Choice>
  </mc:AlternateContent>
  <xr:revisionPtr revIDLastSave="0" documentId="13_ncr:1_{97E81710-FC5B-4B4F-A223-7684CB3462C8}" xr6:coauthVersionLast="47" xr6:coauthVersionMax="47" xr10:uidLastSave="{00000000-0000-0000-0000-000000000000}"/>
  <bookViews>
    <workbookView xWindow="-108" yWindow="-108" windowWidth="23256" windowHeight="13896" tabRatio="892" xr2:uid="{00000000-000D-0000-FFFF-FFFF00000000}"/>
  </bookViews>
  <sheets>
    <sheet name="VRF Desired Format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5" l="1"/>
  <c r="AC6" i="15"/>
  <c r="AC4" i="15"/>
  <c r="AC3" i="15"/>
  <c r="AC2" i="15" l="1"/>
</calcChain>
</file>

<file path=xl/sharedStrings.xml><?xml version="1.0" encoding="utf-8"?>
<sst xmlns="http://schemas.openxmlformats.org/spreadsheetml/2006/main" count="114" uniqueCount="55">
  <si>
    <t>customer_id</t>
  </si>
  <si>
    <t>member_name</t>
  </si>
  <si>
    <t>member_address</t>
  </si>
  <si>
    <t>member_city</t>
  </si>
  <si>
    <t>member_zip</t>
  </si>
  <si>
    <t>po</t>
  </si>
  <si>
    <t>invoice</t>
  </si>
  <si>
    <t>invoice_date</t>
  </si>
  <si>
    <t>ship_to</t>
  </si>
  <si>
    <t>ship_to_address</t>
  </si>
  <si>
    <t>ship_to_city</t>
  </si>
  <si>
    <t>ship_to_state</t>
  </si>
  <si>
    <t>ship_to_zip</t>
  </si>
  <si>
    <t>item</t>
  </si>
  <si>
    <t>manufacturer</t>
  </si>
  <si>
    <t>manufacturer_part</t>
  </si>
  <si>
    <t>um</t>
  </si>
  <si>
    <t>desc</t>
  </si>
  <si>
    <t>unspsc</t>
  </si>
  <si>
    <t>category</t>
  </si>
  <si>
    <t>subcategory</t>
  </si>
  <si>
    <t>retail_price</t>
  </si>
  <si>
    <t>contract_price</t>
  </si>
  <si>
    <t>qty</t>
  </si>
  <si>
    <t>purchase_dollars</t>
  </si>
  <si>
    <t>caf</t>
  </si>
  <si>
    <t>caf_dollars</t>
  </si>
  <si>
    <t>member_number</t>
  </si>
  <si>
    <t>member_state</t>
  </si>
  <si>
    <t>910220</t>
  </si>
  <si>
    <t>10032751</t>
  </si>
  <si>
    <t>MIAMI REGIONAL UNIVERSITY/E&amp;I</t>
  </si>
  <si>
    <t>700 S ROYAL POINCIANA BLVD</t>
  </si>
  <si>
    <t>MIAMI SPRINGS</t>
  </si>
  <si>
    <t>FL</t>
  </si>
  <si>
    <t>33166</t>
  </si>
  <si>
    <t>MIAMI REGIONAL UNIVERSITY</t>
  </si>
  <si>
    <t>PURELL HD SNTZR 12OZ - 12CT</t>
  </si>
  <si>
    <t>3-COLOR TONER SET</t>
  </si>
  <si>
    <t>BOOKENDS HVYDUTY JMBO 10IN BLK</t>
  </si>
  <si>
    <t>HP 58A BLACK</t>
  </si>
  <si>
    <t>ENV #10 P&amp;S SECURITY 500CT</t>
  </si>
  <si>
    <t>3659-12CT</t>
  </si>
  <si>
    <t>414ACMY-STP</t>
  </si>
  <si>
    <t>93142</t>
  </si>
  <si>
    <t>CF258A</t>
  </si>
  <si>
    <t>ST50312-CC</t>
  </si>
  <si>
    <t>HAND SANITIZERS</t>
  </si>
  <si>
    <t>OEM LASER TONER CARTRIDGE</t>
  </si>
  <si>
    <t>DESK SETS-WIRE &amp; METAL</t>
  </si>
  <si>
    <t>Commercial Envelopes</t>
  </si>
  <si>
    <t>JanSan and Facility Supplies</t>
  </si>
  <si>
    <t>Toner</t>
  </si>
  <si>
    <t>Office Supplies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</si>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</sst>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7" x14ac:knownFonts="1">
    <font>
      <sz val="8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5" applyNumberFormat="0" applyAlignment="0" applyProtection="0"/>
    <xf numFmtId="0" fontId="15" fillId="7" borderId="6" applyNumberFormat="0" applyAlignment="0" applyProtection="0"/>
    <xf numFmtId="0" fontId="16" fillId="7" borderId="5" applyNumberFormat="0" applyAlignment="0" applyProtection="0"/>
    <xf numFmtId="0" fontId="17" fillId="0" borderId="7" applyNumberFormat="0" applyFill="0" applyAlignment="0" applyProtection="0"/>
    <xf numFmtId="0" fontId="18" fillId="8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33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4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44" fontId="26" fillId="0" borderId="0" applyFont="0" applyFill="0" applyBorder="0" applyAlignment="0" applyProtection="0"/>
  </cellStyleXfs>
  <cellXfs count="18">
    <xf numFmtId="0" fontId="0" fillId="0" borderId="0" xfId="0"/>
    <xf numFmtId="2" fontId="0" fillId="0" borderId="0" xfId="0" applyNumberFormat="1"/>
    <xf numFmtId="0" fontId="0" fillId="2" borderId="0" xfId="0" applyFill="1"/>
    <xf numFmtId="0" fontId="3" fillId="2" borderId="0" xfId="0" applyFont="1" applyFill="1"/>
    <xf numFmtId="2" fontId="3" fillId="2" borderId="0" xfId="0" applyNumberFormat="1" applyFont="1" applyFill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6" fillId="0" borderId="1" xfId="0" applyFont="1" applyBorder="1"/>
    <xf numFmtId="0" fontId="6" fillId="0" borderId="1" xfId="4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5" fillId="0" borderId="1" xfId="0" applyNumberFormat="1" applyFont="1" applyBorder="1"/>
    <xf numFmtId="0" fontId="23" fillId="0" borderId="1" xfId="47" applyFont="1" applyBorder="1" applyAlignment="1">
      <alignment wrapText="1"/>
    </xf>
    <xf numFmtId="9" fontId="23" fillId="0" borderId="1" xfId="49" applyFont="1" applyBorder="1" applyAlignment="1">
      <alignment wrapText="1"/>
    </xf>
    <xf numFmtId="44" fontId="23" fillId="0" borderId="1" xfId="50" applyFont="1" applyBorder="1" applyAlignment="1">
      <alignment wrapText="1"/>
    </xf>
    <xf numFmtId="2" fontId="2" fillId="35" borderId="0" xfId="0" applyNumberFormat="1" applyFont="1" applyFill="1"/>
    <xf numFmtId="2" fontId="2" fillId="34" borderId="0" xfId="0" applyNumberFormat="1" applyFont="1" applyFill="1"/>
  </cellXfs>
  <cellStyles count="51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00000000-0005-0000-0000-00001B000000}"/>
    <cellStyle name="Comma 3" xfId="46" xr:uid="{00000000-0005-0000-0000-00001C000000}"/>
    <cellStyle name="Currency" xfId="50" builtinId="4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27000000}"/>
    <cellStyle name="Normal 3" xfId="45" xr:uid="{00000000-0005-0000-0000-000028000000}"/>
    <cellStyle name="Normal 4" xfId="47" xr:uid="{00000000-0005-0000-0000-000029000000}"/>
    <cellStyle name="Note 2" xfId="42" xr:uid="{00000000-0005-0000-0000-00002A000000}"/>
    <cellStyle name="Output" xfId="10" builtinId="21" customBuiltin="1"/>
    <cellStyle name="Percent" xfId="49" builtinId="5"/>
    <cellStyle name="Percent 2" xfId="43" xr:uid="{00000000-0005-0000-0000-00002D000000}"/>
    <cellStyle name="Percent 3" xfId="48" xr:uid="{00000000-0005-0000-0000-00002E000000}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  <pageSetUpPr fitToPage="1"/>
  </sheetPr>
  <dimension ref="A1:AD6"/>
  <sheetViews>
    <sheetView tabSelected="1" zoomScale="110" zoomScaleNormal="110" workbookViewId="0">
      <selection activeCell="G16" sqref="G16"/>
    </sheetView>
  </sheetViews>
  <sheetFormatPr defaultColWidth="9.140625" defaultRowHeight="10.199999999999999" x14ac:dyDescent="0.2"/>
  <cols>
    <col min="1" max="23" width="22.42578125" customWidth="1"/>
    <col min="24" max="29" width="22.42578125" style="1" customWidth="1"/>
    <col min="30" max="30" width="9.7109375" style="2" bestFit="1" customWidth="1"/>
    <col min="31" max="16384" width="9.140625" style="2"/>
  </cols>
  <sheetData>
    <row r="1" spans="1:30" ht="13.2" x14ac:dyDescent="0.25">
      <c r="A1" s="16" t="s">
        <v>0</v>
      </c>
      <c r="B1" s="16" t="s">
        <v>27</v>
      </c>
      <c r="C1" s="16" t="s">
        <v>1</v>
      </c>
      <c r="D1" s="16" t="s">
        <v>2</v>
      </c>
      <c r="E1" s="16" t="s">
        <v>3</v>
      </c>
      <c r="F1" s="16" t="s">
        <v>28</v>
      </c>
      <c r="G1" s="16" t="s">
        <v>4</v>
      </c>
      <c r="H1" s="17" t="s">
        <v>5</v>
      </c>
      <c r="I1" s="17" t="s">
        <v>6</v>
      </c>
      <c r="J1" s="17" t="s">
        <v>7</v>
      </c>
      <c r="K1" s="16" t="s">
        <v>8</v>
      </c>
      <c r="L1" s="16" t="s">
        <v>9</v>
      </c>
      <c r="M1" s="16" t="s">
        <v>10</v>
      </c>
      <c r="N1" s="16" t="s">
        <v>11</v>
      </c>
      <c r="O1" s="16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  <c r="U1" s="17" t="s">
        <v>18</v>
      </c>
      <c r="V1" s="17" t="s">
        <v>19</v>
      </c>
      <c r="W1" s="17" t="s">
        <v>20</v>
      </c>
      <c r="X1" s="17" t="s">
        <v>21</v>
      </c>
      <c r="Y1" s="17" t="s">
        <v>22</v>
      </c>
      <c r="Z1" s="17" t="s">
        <v>23</v>
      </c>
      <c r="AA1" s="16" t="s">
        <v>24</v>
      </c>
      <c r="AB1" s="16" t="s">
        <v>25</v>
      </c>
      <c r="AC1" s="16" t="s">
        <v>26</v>
      </c>
    </row>
    <row r="2" spans="1:30" s="3" customFormat="1" ht="27.6" x14ac:dyDescent="0.3">
      <c r="A2" s="7" t="s">
        <v>30</v>
      </c>
      <c r="B2" s="8" t="s">
        <v>29</v>
      </c>
      <c r="C2" s="7" t="s">
        <v>31</v>
      </c>
      <c r="D2" s="7" t="s">
        <v>32</v>
      </c>
      <c r="E2" s="7" t="s">
        <v>33</v>
      </c>
      <c r="F2" s="9" t="s">
        <v>34</v>
      </c>
      <c r="G2" s="10" t="s">
        <v>35</v>
      </c>
      <c r="H2" s="10"/>
      <c r="I2" s="11" t="s">
        <v>54</v>
      </c>
      <c r="J2" s="12"/>
      <c r="K2" s="7" t="s">
        <v>36</v>
      </c>
      <c r="L2" s="7" t="s">
        <v>32</v>
      </c>
      <c r="M2" s="7" t="s">
        <v>33</v>
      </c>
      <c r="N2" s="9" t="s">
        <v>34</v>
      </c>
      <c r="O2" s="10" t="s">
        <v>35</v>
      </c>
      <c r="P2" s="6" t="s">
        <v>42</v>
      </c>
      <c r="Q2" s="5"/>
      <c r="R2" s="6"/>
      <c r="S2" s="13"/>
      <c r="T2" s="6" t="s">
        <v>37</v>
      </c>
      <c r="U2" s="13"/>
      <c r="V2" s="13" t="s">
        <v>51</v>
      </c>
      <c r="W2" s="13" t="s">
        <v>47</v>
      </c>
      <c r="X2" s="13">
        <v>51.99</v>
      </c>
      <c r="Y2" s="13"/>
      <c r="Z2" s="13">
        <v>1</v>
      </c>
      <c r="AA2" s="15">
        <v>51.251030039355335</v>
      </c>
      <c r="AB2" s="14">
        <v>1.4999999999999999E-2</v>
      </c>
      <c r="AC2" s="15">
        <f t="shared" ref="AC2:AC6" si="0">AA2*AB2</f>
        <v>0.76876545059032997</v>
      </c>
      <c r="AD2" s="4"/>
    </row>
    <row r="3" spans="1:30" s="3" customFormat="1" ht="40.200000000000003" x14ac:dyDescent="0.3">
      <c r="A3" s="7" t="s">
        <v>30</v>
      </c>
      <c r="B3" s="8" t="s">
        <v>29</v>
      </c>
      <c r="C3" s="7" t="s">
        <v>31</v>
      </c>
      <c r="D3" s="7" t="s">
        <v>32</v>
      </c>
      <c r="E3" s="7" t="s">
        <v>33</v>
      </c>
      <c r="F3" s="9" t="s">
        <v>34</v>
      </c>
      <c r="G3" s="10" t="s">
        <v>35</v>
      </c>
      <c r="H3" s="10"/>
      <c r="I3" s="11" t="s">
        <v>54</v>
      </c>
      <c r="J3" s="12"/>
      <c r="K3" s="7" t="s">
        <v>36</v>
      </c>
      <c r="L3" s="7" t="s">
        <v>32</v>
      </c>
      <c r="M3" s="7" t="s">
        <v>33</v>
      </c>
      <c r="N3" s="9" t="s">
        <v>34</v>
      </c>
      <c r="O3" s="10" t="s">
        <v>35</v>
      </c>
      <c r="P3" s="6" t="s">
        <v>43</v>
      </c>
      <c r="Q3" s="5"/>
      <c r="R3" s="6"/>
      <c r="S3" s="13"/>
      <c r="T3" s="6" t="s">
        <v>38</v>
      </c>
      <c r="U3" s="13"/>
      <c r="V3" s="13" t="s">
        <v>52</v>
      </c>
      <c r="W3" s="13" t="s">
        <v>48</v>
      </c>
      <c r="X3" s="13">
        <v>439.79</v>
      </c>
      <c r="Y3" s="13"/>
      <c r="Z3" s="13">
        <v>1</v>
      </c>
      <c r="AA3" s="15">
        <v>433.5389594346621</v>
      </c>
      <c r="AB3" s="14">
        <v>1.4999999999999999E-2</v>
      </c>
      <c r="AC3" s="15">
        <f t="shared" si="0"/>
        <v>6.5030843915199315</v>
      </c>
      <c r="AD3" s="4"/>
    </row>
    <row r="4" spans="1:30" s="3" customFormat="1" ht="41.4" x14ac:dyDescent="0.3">
      <c r="A4" s="7" t="s">
        <v>30</v>
      </c>
      <c r="B4" s="8" t="s">
        <v>29</v>
      </c>
      <c r="C4" s="7" t="s">
        <v>31</v>
      </c>
      <c r="D4" s="7" t="s">
        <v>32</v>
      </c>
      <c r="E4" s="7" t="s">
        <v>33</v>
      </c>
      <c r="F4" s="9" t="s">
        <v>34</v>
      </c>
      <c r="G4" s="10" t="s">
        <v>35</v>
      </c>
      <c r="H4" s="10"/>
      <c r="I4" s="11" t="s">
        <v>54</v>
      </c>
      <c r="J4" s="12"/>
      <c r="K4" s="7" t="s">
        <v>36</v>
      </c>
      <c r="L4" s="7" t="s">
        <v>32</v>
      </c>
      <c r="M4" s="7" t="s">
        <v>33</v>
      </c>
      <c r="N4" s="9" t="s">
        <v>34</v>
      </c>
      <c r="O4" s="10" t="s">
        <v>35</v>
      </c>
      <c r="P4" s="6" t="s">
        <v>44</v>
      </c>
      <c r="Q4" s="5"/>
      <c r="R4" s="6"/>
      <c r="S4" s="13"/>
      <c r="T4" s="6" t="s">
        <v>39</v>
      </c>
      <c r="U4" s="13"/>
      <c r="V4" s="13" t="s">
        <v>53</v>
      </c>
      <c r="W4" s="13" t="s">
        <v>49</v>
      </c>
      <c r="X4" s="13">
        <v>17.350000000000001</v>
      </c>
      <c r="Y4" s="13"/>
      <c r="Z4" s="13">
        <v>6</v>
      </c>
      <c r="AA4" s="15">
        <v>102.62035443540853</v>
      </c>
      <c r="AB4" s="14">
        <v>1.4999999999999999E-2</v>
      </c>
      <c r="AC4" s="15">
        <f t="shared" si="0"/>
        <v>1.5393053165311279</v>
      </c>
      <c r="AD4" s="4"/>
    </row>
    <row r="5" spans="1:30" s="3" customFormat="1" ht="40.200000000000003" x14ac:dyDescent="0.3">
      <c r="A5" s="7" t="s">
        <v>30</v>
      </c>
      <c r="B5" s="8" t="s">
        <v>29</v>
      </c>
      <c r="C5" s="7" t="s">
        <v>31</v>
      </c>
      <c r="D5" s="7" t="s">
        <v>32</v>
      </c>
      <c r="E5" s="7" t="s">
        <v>33</v>
      </c>
      <c r="F5" s="9" t="s">
        <v>34</v>
      </c>
      <c r="G5" s="10" t="s">
        <v>35</v>
      </c>
      <c r="H5" s="10"/>
      <c r="I5" s="11" t="s">
        <v>54</v>
      </c>
      <c r="J5" s="12"/>
      <c r="K5" s="7" t="s">
        <v>36</v>
      </c>
      <c r="L5" s="7" t="s">
        <v>32</v>
      </c>
      <c r="M5" s="7" t="s">
        <v>33</v>
      </c>
      <c r="N5" s="9" t="s">
        <v>34</v>
      </c>
      <c r="O5" s="10" t="s">
        <v>35</v>
      </c>
      <c r="P5" s="6" t="s">
        <v>45</v>
      </c>
      <c r="Q5" s="5"/>
      <c r="R5" s="6"/>
      <c r="S5" s="13"/>
      <c r="T5" s="6" t="s">
        <v>40</v>
      </c>
      <c r="U5" s="13"/>
      <c r="V5" s="13" t="s">
        <v>52</v>
      </c>
      <c r="W5" s="13" t="s">
        <v>48</v>
      </c>
      <c r="X5" s="13">
        <v>122.59</v>
      </c>
      <c r="Y5" s="13"/>
      <c r="Z5" s="13">
        <v>1</v>
      </c>
      <c r="AA5" s="15">
        <v>120.8475432299398</v>
      </c>
      <c r="AB5" s="14">
        <v>1.4999999999999999E-2</v>
      </c>
      <c r="AC5" s="15">
        <f t="shared" si="0"/>
        <v>1.812713148449097</v>
      </c>
      <c r="AD5" s="4"/>
    </row>
    <row r="6" spans="1:30" s="3" customFormat="1" ht="27.6" x14ac:dyDescent="0.3">
      <c r="A6" s="7" t="s">
        <v>30</v>
      </c>
      <c r="B6" s="8" t="s">
        <v>29</v>
      </c>
      <c r="C6" s="7" t="s">
        <v>31</v>
      </c>
      <c r="D6" s="7" t="s">
        <v>32</v>
      </c>
      <c r="E6" s="7" t="s">
        <v>33</v>
      </c>
      <c r="F6" s="9" t="s">
        <v>34</v>
      </c>
      <c r="G6" s="10" t="s">
        <v>35</v>
      </c>
      <c r="H6" s="10"/>
      <c r="I6" s="11" t="s">
        <v>54</v>
      </c>
      <c r="J6" s="12"/>
      <c r="K6" s="7" t="s">
        <v>36</v>
      </c>
      <c r="L6" s="7" t="s">
        <v>32</v>
      </c>
      <c r="M6" s="7" t="s">
        <v>33</v>
      </c>
      <c r="N6" s="9" t="s">
        <v>34</v>
      </c>
      <c r="O6" s="10" t="s">
        <v>35</v>
      </c>
      <c r="P6" s="6" t="s">
        <v>46</v>
      </c>
      <c r="Q6" s="5"/>
      <c r="R6" s="6"/>
      <c r="S6" s="13"/>
      <c r="T6" s="6" t="s">
        <v>41</v>
      </c>
      <c r="U6" s="13"/>
      <c r="V6" s="13" t="s">
        <v>53</v>
      </c>
      <c r="W6" s="13" t="s">
        <v>50</v>
      </c>
      <c r="X6" s="13">
        <v>20.53</v>
      </c>
      <c r="Y6" s="13"/>
      <c r="Z6" s="13">
        <v>1</v>
      </c>
      <c r="AA6" s="15">
        <v>20.238192858395173</v>
      </c>
      <c r="AB6" s="14">
        <v>1.4999999999999999E-2</v>
      </c>
      <c r="AC6" s="15">
        <f t="shared" si="0"/>
        <v>0.30357289287592759</v>
      </c>
      <c r="AD6" s="4"/>
    </row>
  </sheetData>
  <phoneticPr fontId="25" type="noConversion"/>
  <printOptions horizontalCentered="1" gridLines="1"/>
  <pageMargins left="0" right="0" top="1.25" bottom="0.75" header="0.3" footer="0.3"/>
  <pageSetup scale="65" orientation="landscape" r:id="rId1"/>
  <headerFooter>
    <oddHeader>&amp;C&amp;"Arial,Bold"&amp;10&amp;F&amp;R&amp;"Arial,Bold"&amp;10&amp;A
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VRF Desired Format</vt:lpstr>
    </vt:vector>
  </TitlesOfParts>
  <Manager/>
  <Company>E&amp;I Cooperative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 Wiercinski</dc:creator>
  <cp:keywords/>
  <dc:description/>
  <cp:lastModifiedBy>Dhinesh Aranganathan</cp:lastModifiedBy>
  <cp:revision/>
  <dcterms:created xsi:type="dcterms:W3CDTF">2009-06-15T23:41:12Z</dcterms:created>
  <dcterms:modified xsi:type="dcterms:W3CDTF">2026-01-19T20:52:52Z</dcterms:modified>
  <cp:category/>
  <cp:contentStatus/>
</cp:coreProperties>
</file>